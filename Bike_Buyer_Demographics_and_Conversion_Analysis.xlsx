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Projects\Data Analyst\MatalinonG Pananaw\"/>
    </mc:Choice>
  </mc:AlternateContent>
  <bookViews>
    <workbookView xWindow="0" yWindow="0" windowWidth="16815" windowHeight="7755" activeTab="3"/>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52511"/>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<sst xmlns="http://schemas.openxmlformats.org/spreadsheetml/2006/main" count="16281" uniqueCount="50">
  <si>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</si>
  <si>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</si>
  <si>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</si>
  <si>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</si>
  <si>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</si>
  <si>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</si>
  <si>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</si>
  <si>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</si>
  <si>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</si>
  <si>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</si>
  <si>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</si>
  <si>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</si>
  <si>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</si>
  <si>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</si>
  <si>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</si>
  <si>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</si>
  <si>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</si>
  <si>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</si>
  <si>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</si>
  <si>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</si>
  <si>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</si>
  <si>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</si>
  <si>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</si>
  <si>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</si>
  <si>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</si>
  <si>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</si>
  <si>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</si>
  <si>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</si>
  <si>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</si>
  <si>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</si>
  <si>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</si>
  <si>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</si>
  <si>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</si>
  <si>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</si>
  <si>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</si>
  <si>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</si>
  <si>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</si>
  <si>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</si>
  <si>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</si>
  <si>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</si>
  <si>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</si>
  <si>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</si>
  <si>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</si>
  <si>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</si>
  <si>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</si>
  <si>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</si>
  <si>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More than 10 miles</t>
  </si>
  <si>
    <t>Middle Age</t>
  </si>
  <si>
    <t>Old</t>
  </si>
  <si>
    <t>BIKE BUYER CONVERSION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</si>
</sst>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00"/>
    <numFmt numFmtId="166" formatCode="&quot;$&quot;#,##0"/>
    <numFmt numFmtId="169"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69" fontId="0" fillId="0" borderId="0" xfId="0" pivotButton="1" applyNumberFormat="1"/>
    <xf numFmtId="169" fontId="0" fillId="0" borderId="0" xfId="0" applyNumberFormat="1"/>
    <xf numFmtId="169" fontId="0" fillId="0" borderId="0" xfId="0" applyNumberFormat="1" applyAlignment="1">
      <alignment horizontal="left"/>
    </xf>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[Bike_Buyer_Demographics_and_Conversion_Analysis.xlsx]Pivot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a:t>
            </a:r>
            <a:r>
              <a:rPr lang="en-US" sz="1400" b="0" i="0" u="none" strike="noStrike" baseline="0"/>
              <a:t>ge Income Per Purchase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50000</c:v>
                </c:pt>
                <c:pt idx="1">
                  <c:v>100000</c:v>
                </c:pt>
              </c:numCache>
            </c:numRef>
          </c:val>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70000</c:v>
                </c:pt>
                <c:pt idx="1">
                  <c:v>120000</c:v>
                </c:pt>
              </c:numCache>
            </c:numRef>
          </c:val>
        </c:ser>
        <c:dLbls>
          <c:showLegendKey val="0"/>
          <c:showVal val="0"/>
          <c:showCatName val="0"/>
          <c:showSerName val="0"/>
          <c:showPercent val="0"/>
          <c:showBubbleSize val="0"/>
        </c:dLbls>
        <c:gapWidth val="219"/>
        <c:overlap val="-27"/>
        <c:axId val="1735544656"/>
        <c:axId val="1735553360"/>
      </c:barChart>
      <c:catAx>
        <c:axId val="1735544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553360"/>
        <c:crosses val="autoZero"/>
        <c:auto val="1"/>
        <c:lblAlgn val="ctr"/>
        <c:lblOffset val="100"/>
        <c:noMultiLvlLbl val="0"/>
      </c:catAx>
      <c:valAx>
        <c:axId val="1735553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5446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[Bike_Buyer_Demographics_and_Conversion_Analysis.xlsx]Pivot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Table'!$A$21:$A$25</c:f>
              <c:strCache>
                <c:ptCount val="4"/>
                <c:pt idx="0">
                  <c:v>0-1 Miles</c:v>
                </c:pt>
                <c:pt idx="1">
                  <c:v>1-2 Miles</c:v>
                </c:pt>
                <c:pt idx="2">
                  <c:v>5-10 Miles</c:v>
                </c:pt>
                <c:pt idx="3">
                  <c:v>More than 10 miles</c:v>
                </c:pt>
              </c:strCache>
            </c:strRef>
          </c:cat>
          <c:val>
            <c:numRef>
              <c:f>'Pivot Table'!$B$21:$B$25</c:f>
              <c:numCache>
                <c:formatCode>General</c:formatCode>
                <c:ptCount val="4"/>
                <c:pt idx="0">
                  <c:v>1</c:v>
                </c:pt>
                <c:pt idx="1">
                  <c:v>1</c:v>
                </c:pt>
                <c:pt idx="2">
                  <c:v>2</c:v>
                </c:pt>
                <c:pt idx="3">
                  <c:v>1</c:v>
                </c:pt>
              </c:numCache>
            </c:numRef>
          </c:val>
          <c:smooth val="0"/>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Table'!$A$21:$A$25</c:f>
              <c:strCache>
                <c:ptCount val="4"/>
                <c:pt idx="0">
                  <c:v>0-1 Miles</c:v>
                </c:pt>
                <c:pt idx="1">
                  <c:v>1-2 Miles</c:v>
                </c:pt>
                <c:pt idx="2">
                  <c:v>5-10 Miles</c:v>
                </c:pt>
                <c:pt idx="3">
                  <c:v>More than 10 miles</c:v>
                </c:pt>
              </c:strCache>
            </c:strRef>
          </c:cat>
          <c:val>
            <c:numRef>
              <c:f>'Pivot Table'!$C$21:$C$25</c:f>
              <c:numCache>
                <c:formatCode>General</c:formatCode>
                <c:ptCount val="4"/>
                <c:pt idx="0">
                  <c:v>1</c:v>
                </c:pt>
                <c:pt idx="1">
                  <c:v>1</c:v>
                </c:pt>
                <c:pt idx="2">
                  <c:v>1</c:v>
                </c:pt>
              </c:numCache>
            </c:numRef>
          </c:val>
          <c:smooth val="0"/>
        </c:ser>
        <c:dLbls>
          <c:showLegendKey val="0"/>
          <c:showVal val="0"/>
          <c:showCatName val="0"/>
          <c:showSerName val="0"/>
          <c:showPercent val="0"/>
          <c:showBubbleSize val="0"/>
        </c:dLbls>
        <c:smooth val="0"/>
        <c:axId val="1735539760"/>
        <c:axId val="1735540848"/>
      </c:lineChart>
      <c:catAx>
        <c:axId val="1735539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540848"/>
        <c:crosses val="autoZero"/>
        <c:auto val="1"/>
        <c:lblAlgn val="ctr"/>
        <c:lblOffset val="100"/>
        <c:noMultiLvlLbl val="0"/>
      </c:catAx>
      <c:valAx>
        <c:axId val="173554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5397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[Bike_Buyer_Demographics_and_Conversion_Analysis.xlsx]Pivot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a:t>
            </a:r>
            <a:r>
              <a:rPr lang="en-US" sz="1400" b="0" i="0" u="none" strike="noStrike" baseline="0"/>
              <a:t>ge Bracket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Table'!$A$38:$A$40</c:f>
              <c:strCache>
                <c:ptCount val="2"/>
                <c:pt idx="0">
                  <c:v>Middle Age</c:v>
                </c:pt>
                <c:pt idx="1">
                  <c:v>Old</c:v>
                </c:pt>
              </c:strCache>
            </c:strRef>
          </c:cat>
          <c:val>
            <c:numRef>
              <c:f>'Pivot Table'!$B$38:$B$40</c:f>
              <c:numCache>
                <c:formatCode>General</c:formatCode>
                <c:ptCount val="2"/>
                <c:pt idx="0">
                  <c:v>2</c:v>
                </c:pt>
                <c:pt idx="1">
                  <c:v>3</c:v>
                </c:pt>
              </c:numCache>
            </c:numRef>
          </c:val>
          <c:smooth val="0"/>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Table'!$A$38:$A$40</c:f>
              <c:strCache>
                <c:ptCount val="2"/>
                <c:pt idx="0">
                  <c:v>Middle Age</c:v>
                </c:pt>
                <c:pt idx="1">
                  <c:v>Old</c:v>
                </c:pt>
              </c:strCache>
            </c:strRef>
          </c:cat>
          <c:val>
            <c:numRef>
              <c:f>'Pivot Table'!$C$38:$C$40</c:f>
              <c:numCache>
                <c:formatCode>General</c:formatCode>
                <c:ptCount val="2"/>
                <c:pt idx="0">
                  <c:v>3</c:v>
                </c:pt>
              </c:numCache>
            </c:numRef>
          </c:val>
          <c:smooth val="0"/>
        </c:ser>
        <c:dLbls>
          <c:showLegendKey val="0"/>
          <c:showVal val="0"/>
          <c:showCatName val="0"/>
          <c:showSerName val="0"/>
          <c:showPercent val="0"/>
          <c:showBubbleSize val="0"/>
        </c:dLbls>
        <c:marker val="1"/>
        <c:smooth val="0"/>
        <c:axId val="1735538128"/>
        <c:axId val="1735538672"/>
      </c:lineChart>
      <c:catAx>
        <c:axId val="1735538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a:t>
                </a:r>
                <a:r>
                  <a:rPr lang="en-US" sz="1000" b="0" i="0" u="none" strike="noStrike" baseline="0"/>
                  <a:t>ge Bracket</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538672"/>
        <c:crosses val="autoZero"/>
        <c:auto val="1"/>
        <c:lblAlgn val="ctr"/>
        <c:lblOffset val="100"/>
        <c:noMultiLvlLbl val="0"/>
      </c:catAx>
      <c:valAx>
        <c:axId val="173553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5381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[Bike_Buyer_Demographics_and_Conversion_Analysis.xlsx]Pivot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a:t>
            </a:r>
            <a:r>
              <a:rPr lang="en-US" sz="1400" b="0" i="0" u="none" strike="noStrike" baseline="0"/>
              <a:t>ge Income Per Purchase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50000</c:v>
                </c:pt>
                <c:pt idx="1">
                  <c:v>100000</c:v>
                </c:pt>
              </c:numCache>
            </c:numRef>
          </c:val>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70000</c:v>
                </c:pt>
                <c:pt idx="1">
                  <c:v>120000</c:v>
                </c:pt>
              </c:numCache>
            </c:numRef>
          </c:val>
        </c:ser>
        <c:dLbls>
          <c:showLegendKey val="0"/>
          <c:showVal val="0"/>
          <c:showCatName val="0"/>
          <c:showSerName val="0"/>
          <c:showPercent val="0"/>
          <c:showBubbleSize val="0"/>
        </c:dLbls>
        <c:gapWidth val="219"/>
        <c:overlap val="-27"/>
        <c:axId val="1738852400"/>
        <c:axId val="1738839888"/>
      </c:barChart>
      <c:catAx>
        <c:axId val="17388524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839888"/>
        <c:crosses val="autoZero"/>
        <c:auto val="1"/>
        <c:lblAlgn val="ctr"/>
        <c:lblOffset val="100"/>
        <c:noMultiLvlLbl val="0"/>
      </c:catAx>
      <c:valAx>
        <c:axId val="1738839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8524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[Bike_Buyer_Demographics_and_Conversion_Analysis.xlsx]Pivot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Table'!$A$21:$A$25</c:f>
              <c:strCache>
                <c:ptCount val="4"/>
                <c:pt idx="0">
                  <c:v>0-1 Miles</c:v>
                </c:pt>
                <c:pt idx="1">
                  <c:v>1-2 Miles</c:v>
                </c:pt>
                <c:pt idx="2">
                  <c:v>5-10 Miles</c:v>
                </c:pt>
                <c:pt idx="3">
                  <c:v>More than 10 miles</c:v>
                </c:pt>
              </c:strCache>
            </c:strRef>
          </c:cat>
          <c:val>
            <c:numRef>
              <c:f>'Pivot Table'!$B$21:$B$25</c:f>
              <c:numCache>
                <c:formatCode>General</c:formatCode>
                <c:ptCount val="4"/>
                <c:pt idx="0">
                  <c:v>1</c:v>
                </c:pt>
                <c:pt idx="1">
                  <c:v>1</c:v>
                </c:pt>
                <c:pt idx="2">
                  <c:v>2</c:v>
                </c:pt>
                <c:pt idx="3">
                  <c:v>1</c:v>
                </c:pt>
              </c:numCache>
            </c:numRef>
          </c:val>
          <c:smooth val="0"/>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Table'!$A$21:$A$25</c:f>
              <c:strCache>
                <c:ptCount val="4"/>
                <c:pt idx="0">
                  <c:v>0-1 Miles</c:v>
                </c:pt>
                <c:pt idx="1">
                  <c:v>1-2 Miles</c:v>
                </c:pt>
                <c:pt idx="2">
                  <c:v>5-10 Miles</c:v>
                </c:pt>
                <c:pt idx="3">
                  <c:v>More than 10 miles</c:v>
                </c:pt>
              </c:strCache>
            </c:strRef>
          </c:cat>
          <c:val>
            <c:numRef>
              <c:f>'Pivot Table'!$C$21:$C$25</c:f>
              <c:numCache>
                <c:formatCode>General</c:formatCode>
                <c:ptCount val="4"/>
                <c:pt idx="0">
                  <c:v>1</c:v>
                </c:pt>
                <c:pt idx="1">
                  <c:v>1</c:v>
                </c:pt>
                <c:pt idx="2">
                  <c:v>1</c:v>
                </c:pt>
              </c:numCache>
            </c:numRef>
          </c:val>
          <c:smooth val="0"/>
        </c:ser>
        <c:dLbls>
          <c:showLegendKey val="0"/>
          <c:showVal val="0"/>
          <c:showCatName val="0"/>
          <c:showSerName val="0"/>
          <c:showPercent val="0"/>
          <c:showBubbleSize val="0"/>
        </c:dLbls>
        <c:smooth val="0"/>
        <c:axId val="1738842608"/>
        <c:axId val="1738850768"/>
      </c:lineChart>
      <c:catAx>
        <c:axId val="1738842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850768"/>
        <c:crosses val="autoZero"/>
        <c:auto val="1"/>
        <c:lblAlgn val="ctr"/>
        <c:lblOffset val="100"/>
        <c:noMultiLvlLbl val="0"/>
      </c:catAx>
      <c:valAx>
        <c:axId val="173885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8426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[Bike_Buyer_Demographics_and_Conversion_Analysis.xlsx]Pivot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a:t>
            </a:r>
            <a:r>
              <a:rPr lang="en-US" sz="1400" b="0" i="0" u="none" strike="noStrike" baseline="0"/>
              <a:t>ge Bracket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Table'!$A$38:$A$40</c:f>
              <c:strCache>
                <c:ptCount val="2"/>
                <c:pt idx="0">
                  <c:v>Middle Age</c:v>
                </c:pt>
                <c:pt idx="1">
                  <c:v>Old</c:v>
                </c:pt>
              </c:strCache>
            </c:strRef>
          </c:cat>
          <c:val>
            <c:numRef>
              <c:f>'Pivot Table'!$B$38:$B$40</c:f>
              <c:numCache>
                <c:formatCode>General</c:formatCode>
                <c:ptCount val="2"/>
                <c:pt idx="0">
                  <c:v>2</c:v>
                </c:pt>
                <c:pt idx="1">
                  <c:v>3</c:v>
                </c:pt>
              </c:numCache>
            </c:numRef>
          </c:val>
          <c:smooth val="0"/>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Table'!$A$38:$A$40</c:f>
              <c:strCache>
                <c:ptCount val="2"/>
                <c:pt idx="0">
                  <c:v>Middle Age</c:v>
                </c:pt>
                <c:pt idx="1">
                  <c:v>Old</c:v>
                </c:pt>
              </c:strCache>
            </c:strRef>
          </c:cat>
          <c:val>
            <c:numRef>
              <c:f>'Pivot Table'!$C$38:$C$40</c:f>
              <c:numCache>
                <c:formatCode>General</c:formatCode>
                <c:ptCount val="2"/>
                <c:pt idx="0">
                  <c:v>3</c:v>
                </c:pt>
              </c:numCache>
            </c:numRef>
          </c:val>
          <c:smooth val="0"/>
        </c:ser>
        <c:dLbls>
          <c:showLegendKey val="0"/>
          <c:showVal val="0"/>
          <c:showCatName val="0"/>
          <c:showSerName val="0"/>
          <c:showPercent val="0"/>
          <c:showBubbleSize val="0"/>
        </c:dLbls>
        <c:marker val="1"/>
        <c:smooth val="0"/>
        <c:axId val="1738848048"/>
        <c:axId val="1738848592"/>
      </c:lineChart>
      <c:catAx>
        <c:axId val="1738848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a:t>
                </a:r>
                <a:r>
                  <a:rPr lang="en-US" sz="1000" b="0" i="0" u="none" strike="noStrike" baseline="0"/>
                  <a:t>ge Bracket</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848592"/>
        <c:crosses val="autoZero"/>
        <c:auto val="1"/>
        <c:lblAlgn val="ctr"/>
        <c:lblOffset val="100"/>
        <c:noMultiLvlLbl val="0"/>
      </c:catAx>
      <c:valAx>
        <c:axId val="1738848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8480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571500</xdr:colOff>
      <xdr:row>1</xdr:row>
      <xdr:rowOff>33337</xdr:rowOff>
    </xdr:from>
    <xdr:to>
      <xdr:col>12</xdr:col>
      <xdr:colOff>266700</xdr:colOff>
      <xdr:row>15</xdr:row>
      <xdr:rowOff>109537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600075</xdr:colOff>
      <xdr:row>17</xdr:row>
      <xdr:rowOff>109537</xdr:rowOff>
    </xdr:from>
    <xdr:to>
      <xdr:col>12</xdr:col>
      <xdr:colOff>295275</xdr:colOff>
      <xdr:row>31</xdr:row>
      <xdr:rowOff>185737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342900</xdr:colOff>
      <xdr:row>34</xdr:row>
      <xdr:rowOff>119062</xdr:rowOff>
    </xdr:from>
    <xdr:to>
      <xdr:col>12</xdr:col>
      <xdr:colOff>38100</xdr:colOff>
      <xdr:row>49</xdr:row>
      <xdr:rowOff>4762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423334</xdr:colOff>
      <xdr:row>5</xdr:row>
      <xdr:rowOff>21166</xdr:rowOff>
    </xdr:from>
    <xdr:to>
      <xdr:col>10</xdr:col>
      <xdr:colOff>114301</xdr:colOff>
      <xdr:row>19</xdr:row>
      <xdr:rowOff>97366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457729</xdr:colOff>
      <xdr:row>20</xdr:row>
      <xdr:rowOff>6615</xdr:rowOff>
    </xdr:from>
    <xdr:to>
      <xdr:col>16</xdr:col>
      <xdr:colOff>605896</xdr:colOff>
      <xdr:row>34</xdr:row>
      <xdr:rowOff>82815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148167</xdr:colOff>
      <xdr:row>5</xdr:row>
      <xdr:rowOff>42334</xdr:rowOff>
    </xdr:from>
    <xdr:to>
      <xdr:col>17</xdr:col>
      <xdr:colOff>0</xdr:colOff>
      <xdr:row>19</xdr:row>
      <xdr:rowOff>95250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57151</xdr:colOff>
      <xdr:row>6</xdr:row>
      <xdr:rowOff>78582</xdr:rowOff>
    </xdr:from>
    <xdr:to>
      <xdr:col>2</xdr:col>
      <xdr:colOff>369094</xdr:colOff>
      <xdr:row>11</xdr:row>
      <xdr:rowOff>83344</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57151" y="1221582"/>
              <a:ext cx="1536586" cy="9572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19050</xdr:rowOff>
    </xdr:from>
    <xdr:to>
      <xdr:col>2</xdr:col>
      <xdr:colOff>333374</xdr:colOff>
      <xdr:row>26</xdr:row>
      <xdr:rowOff>130969</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448050"/>
              <a:ext cx="1558017" cy="1635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69056</xdr:colOff>
      <xdr:row>11</xdr:row>
      <xdr:rowOff>161925</xdr:rowOff>
    </xdr:from>
    <xdr:to>
      <xdr:col>2</xdr:col>
      <xdr:colOff>369093</xdr:colOff>
      <xdr:row>17</xdr:row>
      <xdr:rowOff>178594</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9056" y="2257425"/>
              <a:ext cx="1524680" cy="11596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rick Golo" refreshedDate="46185.529433217591" createdVersion="5" refreshedVersion="5"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60:D69" firstHeaderRow="1" firstDataRow="2" firstDataCol="1"/>
  <pivotFields count="14">
    <pivotField showAll="0"/>
    <pivotField showAll="0">
      <items count="3">
        <item h="1" x="0"/>
        <item x="1"/>
        <item t="default"/>
      </items>
    </pivotField>
    <pivotField showAll="0"/>
    <pivotField numFmtId="166" showAll="0"/>
    <pivotField showAll="0"/>
    <pivotField showAll="0">
      <items count="6">
        <item h="1" x="0"/>
        <item h="1" x="4"/>
        <item x="2"/>
        <item h="1" x="1"/>
        <item h="1" x="3"/>
        <item t="default"/>
      </items>
    </pivotField>
    <pivotField showAll="0"/>
    <pivotField showAll="0"/>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8">
    <i>
      <x v="6"/>
    </i>
    <i>
      <x v="8"/>
    </i>
    <i>
      <x v="10"/>
    </i>
    <i>
      <x v="24"/>
    </i>
    <i>
      <x v="25"/>
    </i>
    <i>
      <x v="30"/>
    </i>
    <i>
      <x v="37"/>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53:D57" firstHeaderRow="1" firstDataRow="2" firstDataCol="1"/>
  <pivotFields count="14">
    <pivotField showAll="0"/>
    <pivotField showAll="0">
      <items count="3">
        <item h="1" x="0"/>
        <item x="1"/>
        <item t="default"/>
      </items>
    </pivotField>
    <pivotField showAll="0"/>
    <pivotField numFmtId="166" showAll="0"/>
    <pivotField showAll="0"/>
    <pivotField showAll="0">
      <items count="6">
        <item h="1" x="0"/>
        <item h="1" x="4"/>
        <item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6:D40" firstHeaderRow="1" firstDataRow="2" firstDataCol="1"/>
  <pivotFields count="14">
    <pivotField showAll="0"/>
    <pivotField showAll="0">
      <items count="3">
        <item h="1" x="0"/>
        <item x="1"/>
        <item t="default"/>
      </items>
    </pivotField>
    <pivotField showAll="0"/>
    <pivotField numFmtId="166" showAll="0"/>
    <pivotField showAll="0"/>
    <pivotField showAll="0">
      <items count="6">
        <item h="1" x="0"/>
        <item h="1" x="4"/>
        <item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19:D25" firstHeaderRow="1" firstDataRow="2" firstDataCol="1"/>
  <pivotFields count="14">
    <pivotField showAll="0"/>
    <pivotField showAll="0">
      <items count="3">
        <item h="1" x="0"/>
        <item x="1"/>
        <item t="default"/>
      </items>
    </pivotField>
    <pivotField showAll="0"/>
    <pivotField numFmtId="166"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5">
    <i>
      <x/>
    </i>
    <i>
      <x v="2"/>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1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6" showAll="0"/>
    <pivotField showAll="0"/>
    <pivotField showAll="0">
      <items count="6">
        <item h="1" x="0"/>
        <item h="1" x="4"/>
        <item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formats count="1">
    <format dxfId="16">
      <pivotArea type="all" dataOnly="0"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 tabId="3" name="PivotTable4"/>
    <pivotTable tabId="3" name="PivotTable5"/>
  </pivotTables>
  <data>
    <tabular pivotCacheId="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 tabId="3" name="PivotTable4"/>
    <pivotTable tabId="3" name="PivotTable5"/>
  </pivotTables>
  <data>
    <tabular pivotCacheId="1">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4"/>
    <pivotTable tabId="3" name="PivotTable5"/>
  </pivotTables>
  <data>
    <tabular pivotCacheId="1">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N10" sqref="N10"/>
    </sheetView>
  </sheetViews>
  <sheetFormatPr defaultColWidth="11.85546875" defaultRowHeight="15" x14ac:dyDescent="0.25"/>
  <cols>
    <col min="1" max="1" width="6" bestFit="1" customWidth="1"/>
    <col min="2" max="2" width="13.28515625" bestFit="1" customWidth="1"/>
    <col min="3" max="3" width="7.5703125" bestFit="1" customWidth="1"/>
    <col min="4" max="4" width="11.140625"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3" width="14.57031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B979" workbookViewId="0">
      <selection activeCell="J4" sqref="J4"/>
    </sheetView>
  </sheetViews>
  <sheetFormatPr defaultRowHeight="15" x14ac:dyDescent="0.25"/>
  <cols>
    <col min="1" max="1" width="6" bestFit="1" customWidth="1"/>
    <col min="2" max="2" width="25.5703125" bestFit="1" customWidth="1"/>
    <col min="3" max="3" width="9.85546875" bestFit="1" customWidth="1"/>
    <col min="4" max="4" width="11.140625" style="3"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3.7109375" bestFit="1"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9"/>
  <sheetViews>
    <sheetView topLeftCell="A31" workbookViewId="0">
      <selection activeCell="B63" sqref="B63"/>
    </sheetView>
  </sheetViews>
  <sheetFormatPr defaultRowHeight="15" x14ac:dyDescent="0.25"/>
  <cols>
    <col min="1" max="1" width="22.85546875" customWidth="1"/>
    <col min="2" max="2" width="16.28515625" customWidth="1"/>
    <col min="3" max="3" width="4.140625" customWidth="1"/>
    <col min="4" max="4" width="11.28515625" customWidth="1"/>
  </cols>
  <sheetData>
    <row r="1" spans="1:4" x14ac:dyDescent="0.25">
      <c r="A1" s="7" t="s">
        <v>43</v>
      </c>
      <c r="B1" s="7" t="s">
        <v>44</v>
      </c>
      <c r="C1" s="8"/>
      <c r="D1" s="8"/>
    </row>
    <row r="2" spans="1:4" x14ac:dyDescent="0.25">
      <c r="A2" s="7" t="s">
        <v>41</v>
      </c>
      <c r="B2" s="8" t="s">
        <v>18</v>
      </c>
      <c r="C2" s="8" t="s">
        <v>15</v>
      </c>
      <c r="D2" s="8" t="s">
        <v>42</v>
      </c>
    </row>
    <row r="3" spans="1:4" x14ac:dyDescent="0.25">
      <c r="A3" s="9" t="s">
        <v>39</v>
      </c>
      <c r="B3" s="8">
        <v>50000</v>
      </c>
      <c r="C3" s="8">
        <v>70000</v>
      </c>
      <c r="D3" s="8">
        <v>54000</v>
      </c>
    </row>
    <row r="4" spans="1:4" x14ac:dyDescent="0.25">
      <c r="A4" s="9" t="s">
        <v>38</v>
      </c>
      <c r="B4" s="8">
        <v>100000</v>
      </c>
      <c r="C4" s="8">
        <v>120000</v>
      </c>
      <c r="D4" s="8">
        <v>113333.33333333333</v>
      </c>
    </row>
    <row r="5" spans="1:4" x14ac:dyDescent="0.25">
      <c r="A5" s="9" t="s">
        <v>42</v>
      </c>
      <c r="B5" s="8">
        <v>60000</v>
      </c>
      <c r="C5" s="8">
        <v>103333.33333333333</v>
      </c>
      <c r="D5" s="8">
        <v>76250</v>
      </c>
    </row>
    <row r="19" spans="1:4" x14ac:dyDescent="0.25">
      <c r="A19" s="5" t="s">
        <v>45</v>
      </c>
      <c r="B19" s="5" t="s">
        <v>44</v>
      </c>
    </row>
    <row r="20" spans="1:4" x14ac:dyDescent="0.25">
      <c r="A20" s="5" t="s">
        <v>41</v>
      </c>
      <c r="B20" t="s">
        <v>18</v>
      </c>
      <c r="C20" t="s">
        <v>15</v>
      </c>
      <c r="D20" t="s">
        <v>42</v>
      </c>
    </row>
    <row r="21" spans="1:4" x14ac:dyDescent="0.25">
      <c r="A21" s="6" t="s">
        <v>16</v>
      </c>
      <c r="B21" s="4">
        <v>1</v>
      </c>
      <c r="C21" s="4">
        <v>1</v>
      </c>
      <c r="D21" s="4">
        <v>2</v>
      </c>
    </row>
    <row r="22" spans="1:4" x14ac:dyDescent="0.25">
      <c r="A22" s="6" t="s">
        <v>26</v>
      </c>
      <c r="B22" s="4">
        <v>1</v>
      </c>
      <c r="C22" s="4">
        <v>1</v>
      </c>
      <c r="D22" s="4">
        <v>2</v>
      </c>
    </row>
    <row r="23" spans="1:4" x14ac:dyDescent="0.25">
      <c r="A23" s="6" t="s">
        <v>23</v>
      </c>
      <c r="B23" s="4">
        <v>2</v>
      </c>
      <c r="C23" s="4">
        <v>1</v>
      </c>
      <c r="D23" s="4">
        <v>3</v>
      </c>
    </row>
    <row r="24" spans="1:4" x14ac:dyDescent="0.25">
      <c r="A24" s="6" t="s">
        <v>46</v>
      </c>
      <c r="B24" s="4">
        <v>1</v>
      </c>
      <c r="C24" s="4"/>
      <c r="D24" s="4">
        <v>1</v>
      </c>
    </row>
    <row r="25" spans="1:4" x14ac:dyDescent="0.25">
      <c r="A25" s="6" t="s">
        <v>42</v>
      </c>
      <c r="B25" s="4">
        <v>5</v>
      </c>
      <c r="C25" s="4">
        <v>3</v>
      </c>
      <c r="D25" s="4">
        <v>8</v>
      </c>
    </row>
    <row r="36" spans="1:4" x14ac:dyDescent="0.25">
      <c r="A36" s="5" t="s">
        <v>45</v>
      </c>
      <c r="B36" s="5" t="s">
        <v>44</v>
      </c>
    </row>
    <row r="37" spans="1:4" x14ac:dyDescent="0.25">
      <c r="A37" s="5" t="s">
        <v>41</v>
      </c>
      <c r="B37" t="s">
        <v>18</v>
      </c>
      <c r="C37" t="s">
        <v>15</v>
      </c>
      <c r="D37" t="s">
        <v>42</v>
      </c>
    </row>
    <row r="38" spans="1:4" x14ac:dyDescent="0.25">
      <c r="A38" s="6" t="s">
        <v>47</v>
      </c>
      <c r="B38" s="4">
        <v>2</v>
      </c>
      <c r="C38" s="4">
        <v>3</v>
      </c>
      <c r="D38" s="4">
        <v>5</v>
      </c>
    </row>
    <row r="39" spans="1:4" x14ac:dyDescent="0.25">
      <c r="A39" s="6" t="s">
        <v>48</v>
      </c>
      <c r="B39" s="4">
        <v>3</v>
      </c>
      <c r="C39" s="4"/>
      <c r="D39" s="4">
        <v>3</v>
      </c>
    </row>
    <row r="40" spans="1:4" x14ac:dyDescent="0.25">
      <c r="A40" s="6" t="s">
        <v>42</v>
      </c>
      <c r="B40" s="4">
        <v>5</v>
      </c>
      <c r="C40" s="4">
        <v>3</v>
      </c>
      <c r="D40" s="4">
        <v>8</v>
      </c>
    </row>
    <row r="53" spans="1:4" x14ac:dyDescent="0.25">
      <c r="A53" s="5" t="s">
        <v>45</v>
      </c>
      <c r="B53" s="5" t="s">
        <v>44</v>
      </c>
    </row>
    <row r="54" spans="1:4" x14ac:dyDescent="0.25">
      <c r="A54" s="5" t="s">
        <v>41</v>
      </c>
      <c r="B54" t="s">
        <v>18</v>
      </c>
      <c r="C54" t="s">
        <v>15</v>
      </c>
      <c r="D54" t="s">
        <v>42</v>
      </c>
    </row>
    <row r="55" spans="1:4" x14ac:dyDescent="0.25">
      <c r="A55" s="6" t="s">
        <v>47</v>
      </c>
      <c r="B55" s="4">
        <v>2</v>
      </c>
      <c r="C55" s="4">
        <v>3</v>
      </c>
      <c r="D55" s="4">
        <v>5</v>
      </c>
    </row>
    <row r="56" spans="1:4" x14ac:dyDescent="0.25">
      <c r="A56" s="6" t="s">
        <v>48</v>
      </c>
      <c r="B56" s="4">
        <v>3</v>
      </c>
      <c r="C56" s="4"/>
      <c r="D56" s="4">
        <v>3</v>
      </c>
    </row>
    <row r="57" spans="1:4" x14ac:dyDescent="0.25">
      <c r="A57" s="6" t="s">
        <v>42</v>
      </c>
      <c r="B57" s="4">
        <v>5</v>
      </c>
      <c r="C57" s="4">
        <v>3</v>
      </c>
      <c r="D57" s="4">
        <v>8</v>
      </c>
    </row>
    <row r="60" spans="1:4" x14ac:dyDescent="0.25">
      <c r="A60" s="5" t="s">
        <v>45</v>
      </c>
      <c r="B60" s="5" t="s">
        <v>44</v>
      </c>
    </row>
    <row r="61" spans="1:4" x14ac:dyDescent="0.25">
      <c r="A61" s="5" t="s">
        <v>41</v>
      </c>
      <c r="B61" t="s">
        <v>18</v>
      </c>
      <c r="C61" t="s">
        <v>15</v>
      </c>
      <c r="D61" t="s">
        <v>42</v>
      </c>
    </row>
    <row r="62" spans="1:4" x14ac:dyDescent="0.25">
      <c r="A62" s="6">
        <v>31</v>
      </c>
      <c r="B62" s="4">
        <v>1</v>
      </c>
      <c r="C62" s="4"/>
      <c r="D62" s="4">
        <v>1</v>
      </c>
    </row>
    <row r="63" spans="1:4" x14ac:dyDescent="0.25">
      <c r="A63" s="6">
        <v>33</v>
      </c>
      <c r="B63" s="4"/>
      <c r="C63" s="4">
        <v>1</v>
      </c>
      <c r="D63" s="4">
        <v>1</v>
      </c>
    </row>
    <row r="64" spans="1:4" x14ac:dyDescent="0.25">
      <c r="A64" s="6">
        <v>35</v>
      </c>
      <c r="B64" s="4">
        <v>1</v>
      </c>
      <c r="C64" s="4"/>
      <c r="D64" s="4">
        <v>1</v>
      </c>
    </row>
    <row r="65" spans="1:4" x14ac:dyDescent="0.25">
      <c r="A65" s="6">
        <v>49</v>
      </c>
      <c r="B65" s="4"/>
      <c r="C65" s="4">
        <v>1</v>
      </c>
      <c r="D65" s="4">
        <v>1</v>
      </c>
    </row>
    <row r="66" spans="1:4" x14ac:dyDescent="0.25">
      <c r="A66" s="6">
        <v>50</v>
      </c>
      <c r="B66" s="4"/>
      <c r="C66" s="4">
        <v>1</v>
      </c>
      <c r="D66" s="4">
        <v>1</v>
      </c>
    </row>
    <row r="67" spans="1:4" x14ac:dyDescent="0.25">
      <c r="A67" s="6">
        <v>55</v>
      </c>
      <c r="B67" s="4">
        <v>2</v>
      </c>
      <c r="C67" s="4"/>
      <c r="D67" s="4">
        <v>2</v>
      </c>
    </row>
    <row r="68" spans="1:4" x14ac:dyDescent="0.25">
      <c r="A68" s="6">
        <v>62</v>
      </c>
      <c r="B68" s="4">
        <v>1</v>
      </c>
      <c r="C68" s="4"/>
      <c r="D68" s="4">
        <v>1</v>
      </c>
    </row>
    <row r="69" spans="1:4" x14ac:dyDescent="0.25">
      <c r="A69" s="6" t="s">
        <v>42</v>
      </c>
      <c r="B69" s="4">
        <v>5</v>
      </c>
      <c r="C69" s="4">
        <v>3</v>
      </c>
      <c r="D69" s="4">
        <v>8</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
  <sheetViews>
    <sheetView showGridLines="0" tabSelected="1" zoomScale="70" zoomScaleNormal="70" workbookViewId="0">
      <selection activeCell="X19" sqref="X19"/>
    </sheetView>
  </sheetViews>
  <sheetFormatPr defaultRowHeight="15" x14ac:dyDescent="0.25"/>
  <sheetData>
    <row r="1" spans="1:17" x14ac:dyDescent="0.25">
      <c r="A1" s="10" t="s">
        <v>49</v>
      </c>
      <c r="B1" s="11"/>
      <c r="C1" s="11"/>
      <c r="D1" s="11"/>
      <c r="E1" s="11"/>
      <c r="F1" s="11"/>
      <c r="G1" s="11"/>
      <c r="H1" s="11"/>
      <c r="I1" s="11"/>
      <c r="J1" s="11"/>
      <c r="K1" s="11"/>
      <c r="L1" s="11"/>
      <c r="M1" s="11"/>
      <c r="N1" s="11"/>
      <c r="O1" s="11"/>
      <c r="P1" s="11"/>
      <c r="Q1" s="11"/>
    </row>
    <row r="2" spans="1:17" x14ac:dyDescent="0.25">
      <c r="A2" s="11"/>
      <c r="B2" s="11"/>
      <c r="C2" s="11"/>
      <c r="D2" s="11"/>
      <c r="E2" s="11"/>
      <c r="F2" s="11"/>
      <c r="G2" s="11"/>
      <c r="H2" s="11"/>
      <c r="I2" s="11"/>
      <c r="J2" s="11"/>
      <c r="K2" s="11"/>
      <c r="L2" s="11"/>
      <c r="M2" s="11"/>
      <c r="N2" s="11"/>
      <c r="O2" s="11"/>
      <c r="P2" s="11"/>
      <c r="Q2" s="11"/>
    </row>
    <row r="3" spans="1:17" x14ac:dyDescent="0.25">
      <c r="A3" s="11"/>
      <c r="B3" s="11"/>
      <c r="C3" s="11"/>
      <c r="D3" s="11"/>
      <c r="E3" s="11"/>
      <c r="F3" s="11"/>
      <c r="G3" s="11"/>
      <c r="H3" s="11"/>
      <c r="I3" s="11"/>
      <c r="J3" s="11"/>
      <c r="K3" s="11"/>
      <c r="L3" s="11"/>
      <c r="M3" s="11"/>
      <c r="N3" s="11"/>
      <c r="O3" s="11"/>
      <c r="P3" s="11"/>
      <c r="Q3" s="11"/>
    </row>
    <row r="4" spans="1:17" x14ac:dyDescent="0.25">
      <c r="A4" s="11"/>
      <c r="B4" s="11"/>
      <c r="C4" s="11"/>
      <c r="D4" s="11"/>
      <c r="E4" s="11"/>
      <c r="F4" s="11"/>
      <c r="G4" s="11"/>
      <c r="H4" s="11"/>
      <c r="I4" s="11"/>
      <c r="J4" s="11"/>
      <c r="K4" s="11"/>
      <c r="L4" s="11"/>
      <c r="M4" s="11"/>
      <c r="N4" s="11"/>
      <c r="O4" s="11"/>
      <c r="P4" s="11"/>
      <c r="Q4" s="11"/>
    </row>
    <row r="5" spans="1:17" x14ac:dyDescent="0.25">
      <c r="A5" s="11"/>
      <c r="B5" s="11"/>
      <c r="C5" s="11"/>
      <c r="D5" s="11"/>
      <c r="E5" s="11"/>
      <c r="F5" s="11"/>
      <c r="G5" s="11"/>
      <c r="H5" s="11"/>
      <c r="I5" s="11"/>
      <c r="J5" s="11"/>
      <c r="K5" s="11"/>
      <c r="L5" s="11"/>
      <c r="M5" s="11"/>
      <c r="N5" s="11"/>
      <c r="O5" s="11"/>
      <c r="P5" s="11"/>
      <c r="Q5" s="11"/>
    </row>
  </sheetData>
  <mergeCells count="1">
    <mergeCell ref="A1:Q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Erick Golo</cp:lastModifiedBy>
  <dcterms:created xsi:type="dcterms:W3CDTF">2022-03-18T02:50:57Z</dcterms:created>
  <dcterms:modified xsi:type="dcterms:W3CDTF">2026-06-12T05:21:53Z</dcterms:modified>
</cp:coreProperties>
</file>